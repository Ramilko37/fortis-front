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sk-fs102\ПроектЗащита\5. Quick Wins WIP\1. Модель защиты к инвестком 12-15мая26\"/>
    </mc:Choice>
  </mc:AlternateContent>
  <bookViews>
    <workbookView xWindow="0" yWindow="0" windowWidth="38400" windowHeight="17832"/>
  </bookViews>
  <sheets>
    <sheet name="Каталог СЗ и атрибуты" sheetId="1" r:id="rId1"/>
  </sheets>
  <definedNames>
    <definedName name="Каталог.Группа">'Каталог СЗ и атрибуты'!$C$4:$C$92</definedName>
    <definedName name="Каталог.Доступность">'Каталог СЗ и атрибуты'!#REF!</definedName>
    <definedName name="Каталог.Слой">'Каталог СЗ и атрибуты'!$A$4:$A$92</definedName>
    <definedName name="Каталог.СредневзвОценка">'Каталог СЗ и атрибуты'!$L$4:$L$92</definedName>
    <definedName name="Каталог.СрокНедель">'Каталог СЗ и атрибуты'!#REF!</definedName>
  </definedNames>
  <calcPr calcId="162913" iterateDelta="1E-4"/>
  <extLst>
    <ext uri="GoogleSheetsCustomDataVersion2">
      <go:sheetsCustomData xmlns:go="http://customooxmlschemas.google.com/" r:id="rId5" roundtripDataChecksum="pEsOuIo7J4XiVYNvczsgl3I0pfdMQU+KxFSVlcVtk9g="/>
    </ext>
  </extLst>
</workbook>
</file>

<file path=xl/calcChain.xml><?xml version="1.0" encoding="utf-8"?>
<calcChain xmlns="http://schemas.openxmlformats.org/spreadsheetml/2006/main">
  <c r="L34" i="1" l="1"/>
  <c r="L33" i="1"/>
  <c r="L31" i="1"/>
  <c r="L30" i="1"/>
  <c r="L29" i="1"/>
  <c r="L28" i="1"/>
  <c r="L27" i="1"/>
  <c r="L26" i="1"/>
  <c r="L23" i="1"/>
  <c r="L22" i="1"/>
  <c r="L19" i="1"/>
  <c r="L18" i="1"/>
  <c r="L9" i="1"/>
  <c r="N3" i="1"/>
</calcChain>
</file>

<file path=xl/sharedStrings.xml><?xml version="1.0" encoding="utf-8"?>
<sst xmlns="http://schemas.openxmlformats.org/spreadsheetml/2006/main" count="108" uniqueCount="76">
  <si>
    <t>КАТАЛОГ СРЕДСТВ ЗАЩИТЫ</t>
  </si>
  <si>
    <t xml:space="preserve">Эшелон </t>
  </si>
  <si>
    <t>Название эшелона</t>
  </si>
  <si>
    <t>Группа СЗ</t>
  </si>
  <si>
    <t>Тип</t>
  </si>
  <si>
    <t>Эффективность</t>
  </si>
  <si>
    <t>Доступность (в т.ч боезаряда)</t>
  </si>
  <si>
    <t>Скорость</t>
  </si>
  <si>
    <t>Стоимость</t>
  </si>
  <si>
    <t>Масштабируемость</t>
  </si>
  <si>
    <t>Адаптивность</t>
  </si>
  <si>
    <t>Управляемость (наше / МО / Росгвардия)</t>
  </si>
  <si>
    <t>Средневзв. оценка</t>
  </si>
  <si>
    <t>Вес критерия, %</t>
  </si>
  <si>
    <t>n/a</t>
  </si>
  <si>
    <t>Слой 0</t>
  </si>
  <si>
    <t>Внешнее предупреждение (&lt;300 км)</t>
  </si>
  <si>
    <t>Региональные центры МЧС</t>
  </si>
  <si>
    <t>Военная комендатура</t>
  </si>
  <si>
    <t>Оперативный штаб региона / ФСБ-куратор</t>
  </si>
  <si>
    <t>Сетка соседних предприятий</t>
  </si>
  <si>
    <t>OSINT-мониторинг</t>
  </si>
  <si>
    <t>Слой 1</t>
  </si>
  <si>
    <t>Обнаружение (5-75 км) и класификиацяи</t>
  </si>
  <si>
    <t>РЛС</t>
  </si>
  <si>
    <t>Оптико-электронные системы</t>
  </si>
  <si>
    <t>Тепловизионные системы</t>
  </si>
  <si>
    <t>Акустические массивы</t>
  </si>
  <si>
    <t>Пассивные радиочастотные детекторы</t>
  </si>
  <si>
    <t>ПО классификации целей</t>
  </si>
  <si>
    <t>Слой 2</t>
  </si>
  <si>
    <t>Подавление (2-10 км)</t>
  </si>
  <si>
    <t>РЭБ узкополосный против GNSS</t>
  </si>
  <si>
    <t>РЭБ широкополосный против радиоканалов</t>
  </si>
  <si>
    <t>GPS-спуферы</t>
  </si>
  <si>
    <t>Слой 3</t>
  </si>
  <si>
    <t>Огневое поражение приоритет (1-20 км)</t>
  </si>
  <si>
    <t>Дроны-перехватчики</t>
  </si>
  <si>
    <t>Огневое поражение приоритет и резерв (1-20 км)</t>
  </si>
  <si>
    <t>МОГ + турельные стрелковые комплексы</t>
  </si>
  <si>
    <t>БАРС</t>
  </si>
  <si>
    <t>Слой 4</t>
  </si>
  <si>
    <t>Огневое поражение последнего рубежа (1-20 км)</t>
  </si>
  <si>
    <t>СВЧ</t>
  </si>
  <si>
    <t>Воздушный патруль</t>
  </si>
  <si>
    <t>Слой 5</t>
  </si>
  <si>
    <t xml:space="preserve">Огневое поражение (резерв) </t>
  </si>
  <si>
    <t>Лазерные системы</t>
  </si>
  <si>
    <t>ЗРПК</t>
  </si>
  <si>
    <t>ПЗРК</t>
  </si>
  <si>
    <t>Ствольная ПВО</t>
  </si>
  <si>
    <t>Срыв точности целеуказания на финальном участке (0,5-2 км)</t>
  </si>
  <si>
    <t>Маскировочные сети и экраны</t>
  </si>
  <si>
    <t>Дымогенерация</t>
  </si>
  <si>
    <t>Ложные тепловые сигнатуры</t>
  </si>
  <si>
    <t>Макеты-обманки</t>
  </si>
  <si>
    <t>Снижение оптического и ИК-контраста</t>
  </si>
  <si>
    <t>"Панцирь"/ЗРПК</t>
  </si>
  <si>
    <t>Слой 6</t>
  </si>
  <si>
    <t>Пассивная защита / ИТЗ (на узлах)</t>
  </si>
  <si>
    <t>ИТЗ</t>
  </si>
  <si>
    <t>Слой 7</t>
  </si>
  <si>
    <t>Инфраструктура</t>
  </si>
  <si>
    <t>Критерии оценки</t>
  </si>
  <si>
    <t>Насколько хорошо СЗ отвечает модели угроз: обнаруживает, уничтожает или защищает</t>
  </si>
  <si>
    <t>Доступность</t>
  </si>
  <si>
    <t>Насколько легко получить или приобрести СЗ</t>
  </si>
  <si>
    <t>Сколько времени занимает развёртывание на объекте</t>
  </si>
  <si>
    <t>Финансовые затраты на приобретение/развёртывание СЗ</t>
  </si>
  <si>
    <t>Насколько легко применить СЗ на других предприятиях</t>
  </si>
  <si>
    <t>Насколько легко подготовить СЗ к изменению модели угроз (качественно и/или количественно)</t>
  </si>
  <si>
    <t>Управляемость</t>
  </si>
  <si>
    <t>Насколько низок риск лишиться СЗ (например, "Панцирь" могут перебросить на другой объект решением МО)</t>
  </si>
  <si>
    <r>
      <rPr>
        <b/>
        <sz val="12"/>
        <color theme="1"/>
        <rFont val="Calibri"/>
        <family val="2"/>
        <charset val="204"/>
      </rPr>
      <t>5</t>
    </r>
    <r>
      <rPr>
        <sz val="12"/>
        <color theme="1"/>
        <rFont val="Calibri"/>
      </rPr>
      <t xml:space="preserve"> - &gt;3 мес
</t>
    </r>
    <r>
      <rPr>
        <b/>
        <sz val="12"/>
        <color theme="1"/>
        <rFont val="Calibri"/>
        <family val="2"/>
        <charset val="204"/>
      </rPr>
      <t>4</t>
    </r>
    <r>
      <rPr>
        <sz val="12"/>
        <color theme="1"/>
        <rFont val="Calibri"/>
      </rPr>
      <t xml:space="preserve"> - 3-6 мес
</t>
    </r>
    <r>
      <rPr>
        <b/>
        <sz val="12"/>
        <color theme="1"/>
        <rFont val="Calibri"/>
        <family val="2"/>
        <charset val="204"/>
      </rPr>
      <t>3</t>
    </r>
    <r>
      <rPr>
        <sz val="12"/>
        <color theme="1"/>
        <rFont val="Calibri"/>
      </rPr>
      <t xml:space="preserve"> - 6-9 мес
</t>
    </r>
    <r>
      <rPr>
        <b/>
        <sz val="12"/>
        <color theme="1"/>
        <rFont val="Calibri"/>
        <family val="2"/>
        <charset val="204"/>
      </rPr>
      <t>2</t>
    </r>
    <r>
      <rPr>
        <sz val="12"/>
        <color theme="1"/>
        <rFont val="Calibri"/>
      </rPr>
      <t xml:space="preserve"> - 9-12 мес
</t>
    </r>
    <r>
      <rPr>
        <b/>
        <sz val="12"/>
        <color theme="1"/>
        <rFont val="Calibri"/>
        <family val="2"/>
        <charset val="204"/>
      </rPr>
      <t>1</t>
    </r>
    <r>
      <rPr>
        <sz val="12"/>
        <color theme="1"/>
        <rFont val="Calibri"/>
      </rPr>
      <t xml:space="preserve"> - &gt;12 мес</t>
    </r>
  </si>
  <si>
    <r>
      <rPr>
        <b/>
        <sz val="12"/>
        <color theme="1"/>
        <rFont val="Calibri"/>
        <family val="2"/>
        <charset val="204"/>
      </rPr>
      <t>5</t>
    </r>
    <r>
      <rPr>
        <sz val="12"/>
        <color theme="1"/>
        <rFont val="Calibri"/>
        <family val="2"/>
        <charset val="204"/>
      </rPr>
      <t xml:space="preserve"> - &gt;200 млн
</t>
    </r>
    <r>
      <rPr>
        <b/>
        <sz val="12"/>
        <color theme="1"/>
        <rFont val="Calibri"/>
        <family val="2"/>
        <charset val="204"/>
      </rPr>
      <t>4</t>
    </r>
    <r>
      <rPr>
        <sz val="12"/>
        <color theme="1"/>
        <rFont val="Calibri"/>
        <family val="2"/>
        <charset val="204"/>
      </rPr>
      <t xml:space="preserve"> - 200-400 млн
</t>
    </r>
    <r>
      <rPr>
        <b/>
        <sz val="12"/>
        <color theme="1"/>
        <rFont val="Calibri"/>
        <family val="2"/>
        <charset val="204"/>
      </rPr>
      <t>3</t>
    </r>
    <r>
      <rPr>
        <sz val="12"/>
        <color theme="1"/>
        <rFont val="Calibri"/>
        <family val="2"/>
        <charset val="204"/>
      </rPr>
      <t xml:space="preserve"> - 400-800 млн
</t>
    </r>
    <r>
      <rPr>
        <b/>
        <sz val="12"/>
        <color theme="1"/>
        <rFont val="Calibri"/>
        <family val="2"/>
        <charset val="204"/>
      </rPr>
      <t>2</t>
    </r>
    <r>
      <rPr>
        <sz val="12"/>
        <color theme="1"/>
        <rFont val="Calibri"/>
        <family val="2"/>
        <charset val="204"/>
      </rPr>
      <t xml:space="preserve"> - 800-1000 млн
</t>
    </r>
    <r>
      <rPr>
        <b/>
        <sz val="12"/>
        <color theme="1"/>
        <rFont val="Calibri"/>
        <family val="2"/>
        <charset val="204"/>
      </rPr>
      <t>1</t>
    </r>
    <r>
      <rPr>
        <sz val="12"/>
        <color theme="1"/>
        <rFont val="Calibri"/>
        <family val="2"/>
        <charset val="204"/>
      </rPr>
      <t xml:space="preserve"> - 1000 млн +</t>
    </r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</si>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</sst>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2"/>
      <color theme="1"/>
      <name val="Calibri"/>
    </font>
    <font>
      <b/>
      <sz val="10"/>
      <color rgb="FF000000"/>
      <name val="Calibri"/>
    </font>
    <font>
      <sz val="11"/>
      <color theme="1"/>
      <name val="Calibri"/>
    </font>
    <font>
      <b/>
      <i/>
      <sz val="10"/>
      <color rgb="FF000000"/>
      <name val="Calibri"/>
    </font>
    <font>
      <b/>
      <i/>
      <sz val="12"/>
      <color rgb="FF7F7F7F"/>
      <name val="Calibri"/>
    </font>
    <font>
      <i/>
      <sz val="12"/>
      <color rgb="FF7F7F7F"/>
      <name val="Calibri"/>
    </font>
    <font>
      <sz val="10"/>
      <color rgb="FF000000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7CAA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4" xfId="0" applyFont="1" applyFill="1" applyBorder="1" applyAlignment="1">
      <alignment horizontal="left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5" xfId="0" applyFont="1" applyBorder="1"/>
    <xf numFmtId="0" fontId="9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9" fillId="7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/>
    <xf numFmtId="0" fontId="9" fillId="0" borderId="5" xfId="0" applyFont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9" fillId="10" borderId="5" xfId="0" applyFont="1" applyFill="1" applyBorder="1"/>
    <xf numFmtId="0" fontId="9" fillId="10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3" fillId="0" borderId="0" xfId="0" applyFont="1" applyAlignment="1">
      <alignment wrapText="1"/>
    </xf>
    <xf numFmtId="0" fontId="13" fillId="0" borderId="0" xfId="0" applyFont="1"/>
    <xf numFmtId="0" fontId="9" fillId="11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22" sqref="L22"/>
    </sheetView>
  </sheetViews>
  <sheetFormatPr defaultColWidth="14.44140625" defaultRowHeight="15" customHeight="1" x14ac:dyDescent="0.3"/>
  <cols>
    <col min="1" max="1" width="20.33203125" customWidth="1"/>
    <col min="2" max="2" width="51.33203125" customWidth="1"/>
    <col min="3" max="3" width="57" customWidth="1"/>
    <col min="4" max="4" width="14" hidden="1" customWidth="1"/>
    <col min="5" max="5" width="14" customWidth="1"/>
    <col min="6" max="10" width="20" customWidth="1"/>
    <col min="11" max="11" width="30.44140625" customWidth="1"/>
    <col min="12" max="12" width="11.33203125" customWidth="1"/>
    <col min="13" max="26" width="8.6640625" customWidth="1"/>
  </cols>
  <sheetData>
    <row r="1" spans="1:26" ht="27.75" customHeight="1" x14ac:dyDescent="0.3">
      <c r="A1" s="27" t="s">
        <v>0</v>
      </c>
      <c r="B1" s="28"/>
      <c r="C1" s="28"/>
      <c r="D1" s="29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">
      <c r="A3" s="6"/>
      <c r="B3" s="6"/>
      <c r="C3" s="7" t="s">
        <v>13</v>
      </c>
      <c r="D3" s="8">
        <v>0</v>
      </c>
      <c r="E3" s="9">
        <v>25</v>
      </c>
      <c r="F3" s="10">
        <v>10</v>
      </c>
      <c r="G3" s="10">
        <v>25</v>
      </c>
      <c r="H3" s="9">
        <v>20</v>
      </c>
      <c r="I3" s="9">
        <v>10</v>
      </c>
      <c r="J3" s="9">
        <v>5</v>
      </c>
      <c r="K3" s="10">
        <v>5</v>
      </c>
      <c r="L3" s="11" t="s">
        <v>14</v>
      </c>
      <c r="M3" s="12"/>
      <c r="N3" s="12">
        <f>SUM(E3:K3)</f>
        <v>100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hidden="1" customHeight="1" x14ac:dyDescent="0.3">
      <c r="A4" s="13" t="s">
        <v>15</v>
      </c>
      <c r="B4" s="13" t="s">
        <v>16</v>
      </c>
      <c r="C4" s="13" t="s">
        <v>17</v>
      </c>
      <c r="D4" s="14">
        <v>1</v>
      </c>
      <c r="E4" s="14"/>
      <c r="F4" s="14"/>
      <c r="G4" s="14"/>
      <c r="H4" s="14"/>
      <c r="I4" s="14"/>
      <c r="J4" s="14"/>
      <c r="K4" s="14"/>
      <c r="L4" s="1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hidden="1" customHeight="1" x14ac:dyDescent="0.3">
      <c r="A5" s="13" t="s">
        <v>15</v>
      </c>
      <c r="B5" s="15"/>
      <c r="C5" s="13" t="s">
        <v>18</v>
      </c>
      <c r="D5" s="14">
        <v>1</v>
      </c>
      <c r="E5" s="14"/>
      <c r="F5" s="14"/>
      <c r="G5" s="14"/>
      <c r="H5" s="14"/>
      <c r="I5" s="14"/>
      <c r="J5" s="14"/>
      <c r="K5" s="14"/>
      <c r="L5" s="1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hidden="1" customHeight="1" x14ac:dyDescent="0.3">
      <c r="A6" s="13" t="s">
        <v>15</v>
      </c>
      <c r="B6" s="15"/>
      <c r="C6" s="13" t="s">
        <v>19</v>
      </c>
      <c r="D6" s="14">
        <v>1</v>
      </c>
      <c r="E6" s="14"/>
      <c r="F6" s="14"/>
      <c r="G6" s="14"/>
      <c r="H6" s="14"/>
      <c r="I6" s="14"/>
      <c r="J6" s="14"/>
      <c r="K6" s="14"/>
      <c r="L6" s="1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hidden="1" customHeight="1" x14ac:dyDescent="0.3">
      <c r="A7" s="13" t="s">
        <v>15</v>
      </c>
      <c r="B7" s="15"/>
      <c r="C7" s="13" t="s">
        <v>20</v>
      </c>
      <c r="D7" s="14">
        <v>1</v>
      </c>
      <c r="E7" s="14"/>
      <c r="F7" s="14"/>
      <c r="G7" s="14"/>
      <c r="H7" s="14"/>
      <c r="I7" s="14"/>
      <c r="J7" s="14"/>
      <c r="K7" s="14"/>
      <c r="L7" s="1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hidden="1" customHeight="1" x14ac:dyDescent="0.3">
      <c r="A8" s="13" t="s">
        <v>15</v>
      </c>
      <c r="B8" s="15"/>
      <c r="C8" s="13" t="s">
        <v>21</v>
      </c>
      <c r="D8" s="14">
        <v>1</v>
      </c>
      <c r="E8" s="14"/>
      <c r="F8" s="14"/>
      <c r="G8" s="14"/>
      <c r="H8" s="14"/>
      <c r="I8" s="14"/>
      <c r="J8" s="14"/>
      <c r="K8" s="14"/>
      <c r="L8" s="1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13" t="s">
        <v>22</v>
      </c>
      <c r="B9" s="13" t="s">
        <v>23</v>
      </c>
      <c r="C9" s="13" t="s">
        <v>24</v>
      </c>
      <c r="D9" s="14">
        <v>2</v>
      </c>
      <c r="E9" s="14">
        <v>5</v>
      </c>
      <c r="F9" s="14">
        <v>3</v>
      </c>
      <c r="G9" s="14">
        <v>2</v>
      </c>
      <c r="H9" s="14">
        <v>5</v>
      </c>
      <c r="I9" s="14">
        <v>5</v>
      </c>
      <c r="J9" s="14">
        <v>3</v>
      </c>
      <c r="K9" s="14">
        <v>5</v>
      </c>
      <c r="L9" s="16">
        <f>IFERROR(SUMPRODUCT(E9:K9,$E$3:$K$3)/5,0)</f>
        <v>79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hidden="1" customHeight="1" x14ac:dyDescent="0.3">
      <c r="A10" s="13" t="s">
        <v>22</v>
      </c>
      <c r="B10" s="15"/>
      <c r="C10" s="13" t="s">
        <v>25</v>
      </c>
      <c r="D10" s="14">
        <v>2</v>
      </c>
      <c r="E10" s="14"/>
      <c r="F10" s="14"/>
      <c r="G10" s="14"/>
      <c r="H10" s="14"/>
      <c r="I10" s="14"/>
      <c r="J10" s="14"/>
      <c r="K10" s="14"/>
      <c r="L10" s="1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hidden="1" customHeight="1" x14ac:dyDescent="0.3">
      <c r="A11" s="13" t="s">
        <v>22</v>
      </c>
      <c r="B11" s="15"/>
      <c r="C11" s="13" t="s">
        <v>26</v>
      </c>
      <c r="D11" s="14">
        <v>2</v>
      </c>
      <c r="E11" s="14"/>
      <c r="F11" s="14"/>
      <c r="G11" s="14"/>
      <c r="H11" s="14"/>
      <c r="I11" s="14"/>
      <c r="J11" s="14"/>
      <c r="K11" s="14"/>
      <c r="L11" s="1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hidden="1" customHeight="1" x14ac:dyDescent="0.3">
      <c r="A12" s="13" t="s">
        <v>22</v>
      </c>
      <c r="B12" s="15"/>
      <c r="C12" s="13" t="s">
        <v>27</v>
      </c>
      <c r="D12" s="14">
        <v>2</v>
      </c>
      <c r="E12" s="14"/>
      <c r="F12" s="14"/>
      <c r="G12" s="14"/>
      <c r="H12" s="14"/>
      <c r="I12" s="14"/>
      <c r="J12" s="14"/>
      <c r="K12" s="14"/>
      <c r="L12" s="1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hidden="1" customHeight="1" x14ac:dyDescent="0.3">
      <c r="A13" s="13" t="s">
        <v>22</v>
      </c>
      <c r="B13" s="15"/>
      <c r="C13" s="13" t="s">
        <v>28</v>
      </c>
      <c r="D13" s="14">
        <v>2</v>
      </c>
      <c r="E13" s="14"/>
      <c r="F13" s="14"/>
      <c r="G13" s="14"/>
      <c r="H13" s="14"/>
      <c r="I13" s="14"/>
      <c r="J13" s="14"/>
      <c r="K13" s="14"/>
      <c r="L13" s="1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hidden="1" customHeight="1" x14ac:dyDescent="0.3">
      <c r="A14" s="13" t="s">
        <v>22</v>
      </c>
      <c r="B14" s="13"/>
      <c r="C14" s="13" t="s">
        <v>29</v>
      </c>
      <c r="D14" s="14">
        <v>2</v>
      </c>
      <c r="E14" s="14"/>
      <c r="F14" s="14"/>
      <c r="G14" s="14"/>
      <c r="H14" s="14"/>
      <c r="I14" s="14"/>
      <c r="J14" s="14"/>
      <c r="K14" s="14"/>
      <c r="L14" s="1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hidden="1" customHeight="1" x14ac:dyDescent="0.3">
      <c r="A15" s="13" t="s">
        <v>30</v>
      </c>
      <c r="B15" s="13" t="s">
        <v>31</v>
      </c>
      <c r="C15" s="13" t="s">
        <v>32</v>
      </c>
      <c r="D15" s="14">
        <v>2</v>
      </c>
      <c r="E15" s="14"/>
      <c r="F15" s="14"/>
      <c r="G15" s="14"/>
      <c r="H15" s="14"/>
      <c r="I15" s="14"/>
      <c r="J15" s="14"/>
      <c r="K15" s="14"/>
      <c r="L15" s="1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hidden="1" customHeight="1" x14ac:dyDescent="0.3">
      <c r="A16" s="13" t="s">
        <v>30</v>
      </c>
      <c r="B16" s="15"/>
      <c r="C16" s="13" t="s">
        <v>33</v>
      </c>
      <c r="D16" s="14">
        <v>2</v>
      </c>
      <c r="E16" s="14"/>
      <c r="F16" s="14"/>
      <c r="G16" s="14"/>
      <c r="H16" s="14"/>
      <c r="I16" s="14"/>
      <c r="J16" s="14"/>
      <c r="K16" s="14"/>
      <c r="L16" s="1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hidden="1" customHeight="1" x14ac:dyDescent="0.3">
      <c r="A17" s="13" t="s">
        <v>30</v>
      </c>
      <c r="B17" s="15"/>
      <c r="C17" s="13" t="s">
        <v>34</v>
      </c>
      <c r="D17" s="14">
        <v>2</v>
      </c>
      <c r="E17" s="14"/>
      <c r="F17" s="14"/>
      <c r="G17" s="14"/>
      <c r="H17" s="14"/>
      <c r="I17" s="14"/>
      <c r="J17" s="14"/>
      <c r="K17" s="14"/>
      <c r="L17" s="1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3">
      <c r="A18" s="13" t="s">
        <v>35</v>
      </c>
      <c r="B18" s="17" t="s">
        <v>36</v>
      </c>
      <c r="C18" s="13" t="s">
        <v>37</v>
      </c>
      <c r="D18" s="14">
        <v>3</v>
      </c>
      <c r="E18" s="14">
        <v>4</v>
      </c>
      <c r="F18" s="14">
        <v>5</v>
      </c>
      <c r="G18" s="14">
        <v>4</v>
      </c>
      <c r="H18" s="14">
        <v>1</v>
      </c>
      <c r="I18" s="14">
        <v>4</v>
      </c>
      <c r="J18" s="14">
        <v>4</v>
      </c>
      <c r="K18" s="14">
        <v>5</v>
      </c>
      <c r="L18" s="16">
        <f t="shared" ref="L18:L19" si="0">IFERROR(SUMPRODUCT(E18:K18,$E$3:$K$3)/5,0)</f>
        <v>71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3">
      <c r="A19" s="13" t="s">
        <v>35</v>
      </c>
      <c r="B19" s="17" t="s">
        <v>38</v>
      </c>
      <c r="C19" s="13" t="s">
        <v>39</v>
      </c>
      <c r="D19" s="14">
        <v>3</v>
      </c>
      <c r="E19" s="14">
        <v>4</v>
      </c>
      <c r="F19" s="14">
        <v>4</v>
      </c>
      <c r="G19" s="14">
        <v>4</v>
      </c>
      <c r="H19" s="14">
        <v>3</v>
      </c>
      <c r="I19" s="14">
        <v>4</v>
      </c>
      <c r="J19" s="14">
        <v>5</v>
      </c>
      <c r="K19" s="14">
        <v>4</v>
      </c>
      <c r="L19" s="16">
        <f t="shared" si="0"/>
        <v>77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hidden="1" customHeight="1" x14ac:dyDescent="0.3">
      <c r="A20" s="13" t="s">
        <v>35</v>
      </c>
      <c r="B20" s="15"/>
      <c r="C20" s="13" t="s">
        <v>40</v>
      </c>
      <c r="D20" s="14">
        <v>3</v>
      </c>
      <c r="E20" s="14"/>
      <c r="F20" s="14"/>
      <c r="G20" s="14"/>
      <c r="H20" s="14"/>
      <c r="I20" s="14"/>
      <c r="J20" s="14"/>
      <c r="K20" s="14"/>
      <c r="L20" s="1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hidden="1" customHeight="1" x14ac:dyDescent="0.3">
      <c r="A21" s="13" t="s">
        <v>41</v>
      </c>
      <c r="B21" s="13" t="s">
        <v>42</v>
      </c>
      <c r="C21" s="13" t="s">
        <v>43</v>
      </c>
      <c r="D21" s="14">
        <v>3</v>
      </c>
      <c r="E21" s="14"/>
      <c r="F21" s="14"/>
      <c r="G21" s="14"/>
      <c r="H21" s="14"/>
      <c r="I21" s="14"/>
      <c r="J21" s="14"/>
      <c r="K21" s="14"/>
      <c r="L21" s="1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3">
      <c r="A22" s="13" t="s">
        <v>35</v>
      </c>
      <c r="B22" s="17" t="s">
        <v>38</v>
      </c>
      <c r="C22" s="13" t="s">
        <v>44</v>
      </c>
      <c r="D22" s="14">
        <v>3</v>
      </c>
      <c r="E22" s="14">
        <v>3</v>
      </c>
      <c r="F22" s="14">
        <v>2</v>
      </c>
      <c r="G22" s="14">
        <v>3</v>
      </c>
      <c r="H22" s="18">
        <v>5</v>
      </c>
      <c r="I22" s="14">
        <v>1</v>
      </c>
      <c r="J22" s="14">
        <v>1</v>
      </c>
      <c r="K22" s="14">
        <v>1</v>
      </c>
      <c r="L22" s="32">
        <f t="shared" ref="L22:L23" si="1">IFERROR(SUMPRODUCT(E22:K22,$E$3:$K$3)/5,0)</f>
        <v>58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3">
      <c r="A23" s="17" t="s">
        <v>45</v>
      </c>
      <c r="B23" s="17" t="s">
        <v>46</v>
      </c>
      <c r="C23" s="13" t="s">
        <v>47</v>
      </c>
      <c r="D23" s="14">
        <v>3</v>
      </c>
      <c r="E23" s="14">
        <v>3</v>
      </c>
      <c r="F23" s="14">
        <v>1</v>
      </c>
      <c r="G23" s="14">
        <v>2</v>
      </c>
      <c r="H23" s="14">
        <v>1</v>
      </c>
      <c r="I23" s="14">
        <v>1</v>
      </c>
      <c r="J23" s="14">
        <v>1</v>
      </c>
      <c r="K23" s="14">
        <v>1</v>
      </c>
      <c r="L23" s="19">
        <f t="shared" si="1"/>
        <v>35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hidden="1" customHeight="1" x14ac:dyDescent="0.3">
      <c r="A24" s="13" t="s">
        <v>41</v>
      </c>
      <c r="B24" s="13"/>
      <c r="C24" s="13" t="s">
        <v>48</v>
      </c>
      <c r="D24" s="14">
        <v>3</v>
      </c>
      <c r="E24" s="14"/>
      <c r="F24" s="14"/>
      <c r="G24" s="14"/>
      <c r="H24" s="14"/>
      <c r="I24" s="14"/>
      <c r="J24" s="14"/>
      <c r="K24" s="14"/>
      <c r="L24" s="1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hidden="1" customHeight="1" x14ac:dyDescent="0.3">
      <c r="A25" s="13" t="s">
        <v>41</v>
      </c>
      <c r="B25" s="15"/>
      <c r="C25" s="13" t="s">
        <v>49</v>
      </c>
      <c r="D25" s="14">
        <v>3</v>
      </c>
      <c r="E25" s="14"/>
      <c r="F25" s="14"/>
      <c r="G25" s="14"/>
      <c r="H25" s="14"/>
      <c r="I25" s="14"/>
      <c r="J25" s="14"/>
      <c r="K25" s="14"/>
      <c r="L25" s="1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17" t="s">
        <v>45</v>
      </c>
      <c r="B26" s="17" t="s">
        <v>46</v>
      </c>
      <c r="C26" s="13" t="s">
        <v>50</v>
      </c>
      <c r="D26" s="14">
        <v>3</v>
      </c>
      <c r="E26" s="14">
        <v>3</v>
      </c>
      <c r="F26" s="14">
        <v>3</v>
      </c>
      <c r="G26" s="14">
        <v>4</v>
      </c>
      <c r="H26" s="14">
        <v>1</v>
      </c>
      <c r="I26" s="14">
        <v>4</v>
      </c>
      <c r="J26" s="14">
        <v>3</v>
      </c>
      <c r="K26" s="14">
        <v>1</v>
      </c>
      <c r="L26" s="20">
        <f t="shared" ref="L26:L31" si="2">IFERROR(SUMPRODUCT(E26:K26,$E$3:$K$3)/5,0)</f>
        <v>57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hidden="1" customHeight="1" x14ac:dyDescent="0.3">
      <c r="A27" s="13" t="s">
        <v>45</v>
      </c>
      <c r="B27" s="13" t="s">
        <v>51</v>
      </c>
      <c r="C27" s="13" t="s">
        <v>52</v>
      </c>
      <c r="D27" s="14">
        <v>3</v>
      </c>
      <c r="E27" s="14"/>
      <c r="F27" s="14"/>
      <c r="G27" s="14"/>
      <c r="H27" s="14"/>
      <c r="I27" s="14"/>
      <c r="J27" s="14"/>
      <c r="K27" s="14"/>
      <c r="L27" s="20">
        <f t="shared" si="2"/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hidden="1" customHeight="1" x14ac:dyDescent="0.3">
      <c r="A28" s="13" t="s">
        <v>45</v>
      </c>
      <c r="B28" s="15"/>
      <c r="C28" s="13" t="s">
        <v>53</v>
      </c>
      <c r="D28" s="14">
        <v>3</v>
      </c>
      <c r="E28" s="14"/>
      <c r="F28" s="14"/>
      <c r="G28" s="14"/>
      <c r="H28" s="14"/>
      <c r="I28" s="14"/>
      <c r="J28" s="14"/>
      <c r="K28" s="14"/>
      <c r="L28" s="20">
        <f t="shared" si="2"/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hidden="1" customHeight="1" x14ac:dyDescent="0.3">
      <c r="A29" s="13" t="s">
        <v>45</v>
      </c>
      <c r="B29" s="15"/>
      <c r="C29" s="13" t="s">
        <v>54</v>
      </c>
      <c r="D29" s="14">
        <v>3</v>
      </c>
      <c r="E29" s="14"/>
      <c r="F29" s="14"/>
      <c r="G29" s="14"/>
      <c r="H29" s="14"/>
      <c r="I29" s="14"/>
      <c r="J29" s="14"/>
      <c r="K29" s="14"/>
      <c r="L29" s="20">
        <f t="shared" si="2"/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hidden="1" customHeight="1" x14ac:dyDescent="0.3">
      <c r="A30" s="13" t="s">
        <v>45</v>
      </c>
      <c r="B30" s="15"/>
      <c r="C30" s="13" t="s">
        <v>55</v>
      </c>
      <c r="D30" s="14">
        <v>3</v>
      </c>
      <c r="E30" s="14"/>
      <c r="F30" s="14"/>
      <c r="G30" s="14"/>
      <c r="H30" s="14"/>
      <c r="I30" s="14"/>
      <c r="J30" s="14"/>
      <c r="K30" s="14"/>
      <c r="L30" s="20">
        <f t="shared" si="2"/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hidden="1" customHeight="1" x14ac:dyDescent="0.3">
      <c r="A31" s="13" t="s">
        <v>45</v>
      </c>
      <c r="B31" s="15"/>
      <c r="C31" s="13" t="s">
        <v>56</v>
      </c>
      <c r="D31" s="14">
        <v>3</v>
      </c>
      <c r="E31" s="14"/>
      <c r="F31" s="14"/>
      <c r="G31" s="14"/>
      <c r="H31" s="14"/>
      <c r="I31" s="14"/>
      <c r="J31" s="14"/>
      <c r="K31" s="14"/>
      <c r="L31" s="20">
        <f t="shared" si="2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">
      <c r="A32" s="17" t="s">
        <v>45</v>
      </c>
      <c r="B32" s="17" t="s">
        <v>46</v>
      </c>
      <c r="C32" s="13" t="s">
        <v>57</v>
      </c>
      <c r="D32" s="14"/>
      <c r="E32" s="21">
        <v>5</v>
      </c>
      <c r="F32" s="21"/>
      <c r="G32" s="21"/>
      <c r="H32" s="21"/>
      <c r="I32" s="21"/>
      <c r="J32" s="21"/>
      <c r="K32" s="21"/>
      <c r="L32" s="21">
        <v>100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">
      <c r="A33" s="13" t="s">
        <v>58</v>
      </c>
      <c r="B33" s="22" t="s">
        <v>59</v>
      </c>
      <c r="C33" s="13" t="s">
        <v>60</v>
      </c>
      <c r="D33" s="14">
        <v>3</v>
      </c>
      <c r="E33" s="14">
        <v>3</v>
      </c>
      <c r="F33" s="14">
        <v>5</v>
      </c>
      <c r="G33" s="14">
        <v>1</v>
      </c>
      <c r="H33" s="14">
        <v>1</v>
      </c>
      <c r="I33" s="14">
        <v>5</v>
      </c>
      <c r="J33" s="14">
        <v>1</v>
      </c>
      <c r="K33" s="14">
        <v>5</v>
      </c>
      <c r="L33" s="20">
        <f t="shared" ref="L33:L34" si="3">IFERROR(SUMPRODUCT(E33:K33,$E$3:$K$3)/5,0)</f>
        <v>50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3">
      <c r="A34" s="23" t="s">
        <v>61</v>
      </c>
      <c r="B34" s="23" t="s">
        <v>62</v>
      </c>
      <c r="C34" s="23"/>
      <c r="D34" s="24">
        <v>3</v>
      </c>
      <c r="E34" s="24">
        <v>4</v>
      </c>
      <c r="F34" s="24">
        <v>4</v>
      </c>
      <c r="G34" s="24">
        <v>5</v>
      </c>
      <c r="H34" s="24">
        <v>1</v>
      </c>
      <c r="I34" s="24">
        <v>5</v>
      </c>
      <c r="J34" s="24">
        <v>5</v>
      </c>
      <c r="K34" s="24">
        <v>5</v>
      </c>
      <c r="L34" s="16">
        <f t="shared" si="3"/>
        <v>77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3">
      <c r="A35" s="2"/>
      <c r="B35" s="2"/>
      <c r="C35" s="2"/>
      <c r="D35" s="2">
        <v>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3">
      <c r="A36" s="22"/>
      <c r="B36" s="2"/>
      <c r="C36" s="2"/>
      <c r="D36" s="2">
        <v>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 x14ac:dyDescent="0.3">
      <c r="A37" s="25" t="s">
        <v>63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3">
      <c r="A38" s="26" t="s">
        <v>5</v>
      </c>
      <c r="B38" s="2" t="s">
        <v>64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6" x14ac:dyDescent="0.3">
      <c r="A39" s="26" t="s">
        <v>65</v>
      </c>
      <c r="B39" s="2" t="s">
        <v>66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" x14ac:dyDescent="0.3">
      <c r="A40" s="26" t="s">
        <v>7</v>
      </c>
      <c r="B40" s="2" t="s">
        <v>67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" x14ac:dyDescent="0.3">
      <c r="A41" s="26" t="s">
        <v>8</v>
      </c>
      <c r="B41" s="2" t="s">
        <v>68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6" x14ac:dyDescent="0.3">
      <c r="A42" s="26" t="s">
        <v>9</v>
      </c>
      <c r="B42" s="2" t="s">
        <v>69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" x14ac:dyDescent="0.3">
      <c r="A43" s="26" t="s">
        <v>10</v>
      </c>
      <c r="B43" s="2" t="s">
        <v>70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" x14ac:dyDescent="0.3">
      <c r="A44" s="26" t="s">
        <v>71</v>
      </c>
      <c r="B44" s="2" t="s">
        <v>72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78" x14ac:dyDescent="0.3">
      <c r="A47" s="2" t="s">
        <v>7</v>
      </c>
      <c r="B47" s="30" t="s">
        <v>73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78" x14ac:dyDescent="0.3">
      <c r="A48" s="31" t="s">
        <v>75</v>
      </c>
      <c r="B48" s="30" t="s">
        <v>74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conditionalFormatting sqref="L1:L8 L35:L1000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Каталог СЗ и атрибуты</vt:lpstr>
      <vt:lpstr>Каталог.Группа</vt:lpstr>
      <vt:lpstr>Каталог.Слой</vt:lpstr>
      <vt:lpstr>Каталог.СредневзвОценка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 Всеволод Александрович \ Vsevolod Sokolov</dc:creator>
  <cp:lastModifiedBy>Соколов Всеволод Александрович \ Vsevolod Sokolov</cp:lastModifiedBy>
  <dcterms:created xsi:type="dcterms:W3CDTF">2026-05-15T15:59:51Z</dcterms:created>
  <dcterms:modified xsi:type="dcterms:W3CDTF">2026-05-18T09:59:31Z</dcterms:modified>
</cp:coreProperties>
</file>